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Funds" sheetId="2" state="visible" r:id="rId2"/>
    <sheet xmlns:r="http://schemas.openxmlformats.org/officeDocument/2006/relationships" name="Investors" sheetId="3" state="visible" r:id="rId3"/>
    <sheet xmlns:r="http://schemas.openxmlformats.org/officeDocument/2006/relationships" name="Tax_Rates" sheetId="4" state="visible" r:id="rId4"/>
    <sheet xmlns:r="http://schemas.openxmlformats.org/officeDocument/2006/relationships" name="Distributions" sheetId="5" state="visible" r:id="rId5"/>
    <sheet xmlns:r="http://schemas.openxmlformats.org/officeDocument/2006/relationships" name="Summary" sheetId="6" state="visible" r:id="rId6"/>
    <sheet xmlns:r="http://schemas.openxmlformats.org/officeDocument/2006/relationships" name="Audit_Log" sheetId="7" state="visible" r:id="rId7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&quot;$&quot;#,##0.0000"/>
    <numFmt numFmtId="165" formatCode="yyyy-mm-dd"/>
    <numFmt numFmtId="166" formatCode="_($* #,##0.00_);_($* (#,##0.00);_($* &quot;-&quot;??_);_(@_)"/>
    <numFmt numFmtId="167" formatCode="#,##0.0000"/>
  </numFmts>
  <fonts count="13">
    <font>
      <name val="Calibri"/>
      <family val="2"/>
      <color theme="1"/>
      <sz val="11"/>
      <scheme val="minor"/>
    </font>
    <font>
      <name val="Arial"/>
      <sz val="10"/>
    </font>
    <font>
      <name val="Arial"/>
      <b val="1"/>
      <color rgb="001F4E78"/>
      <sz val="16"/>
    </font>
    <font>
      <name val="Arial"/>
      <i val="1"/>
      <color rgb="00595959"/>
      <sz val="11"/>
    </font>
    <font>
      <name val="Arial"/>
      <b val="1"/>
      <sz val="12"/>
    </font>
    <font>
      <name val="Arial"/>
      <color rgb="000000FF"/>
      <sz val="10"/>
    </font>
    <font>
      <name val="Arial"/>
      <color rgb="00000000"/>
      <sz val="10"/>
    </font>
    <font>
      <name val="Arial"/>
      <color rgb="00008000"/>
      <sz val="10"/>
    </font>
    <font>
      <name val="Arial"/>
      <b val="1"/>
      <sz val="10"/>
    </font>
    <font>
      <name val="Arial"/>
      <b val="1"/>
      <color rgb="00FFFFFF"/>
      <sz val="11"/>
    </font>
    <font>
      <name val="Arial"/>
      <i val="1"/>
      <color rgb="00595959"/>
      <sz val="9"/>
    </font>
    <font>
      <name val="Arial"/>
      <i val="1"/>
      <color rgb="00595959"/>
      <sz val="10"/>
    </font>
    <font>
      <name val="Arial"/>
      <b val="1"/>
      <sz val="11"/>
    </font>
  </fonts>
  <fills count="8">
    <fill>
      <patternFill/>
    </fill>
    <fill>
      <patternFill patternType="gray125"/>
    </fill>
    <fill>
      <patternFill patternType="solid">
        <fgColor rgb="00FFF2CC"/>
      </patternFill>
    </fill>
    <fill>
      <patternFill patternType="solid">
        <fgColor rgb="00E2EFDA"/>
      </patternFill>
    </fill>
    <fill>
      <patternFill patternType="solid">
        <fgColor rgb="002E7D32"/>
      </patternFill>
    </fill>
    <fill>
      <patternFill patternType="solid">
        <fgColor rgb="001565C0"/>
      </patternFill>
    </fill>
    <fill>
      <patternFill patternType="solid">
        <fgColor rgb="00C62828"/>
      </patternFill>
    </fill>
    <fill>
      <patternFill patternType="solid">
        <fgColor rgb="001F4E78"/>
      </patternFill>
    </fill>
  </fills>
  <borders count="3">
    <border>
      <left/>
      <right/>
      <top/>
      <bottom/>
      <diagonal/>
    </border>
    <border/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2">
    <xf numFmtId="0" fontId="0" fillId="0" borderId="0"/>
    <xf numFmtId="0" fontId="1" fillId="0" borderId="1"/>
  </cellStyleXfs>
  <cellXfs count="2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1" fillId="0" borderId="0" pivotButton="0" quotePrefix="0" xfId="0"/>
    <xf numFmtId="0" fontId="5" fillId="2" borderId="2" pivotButton="0" quotePrefix="0" xfId="0"/>
    <xf numFmtId="0" fontId="6" fillId="0" borderId="2" pivotButton="0" quotePrefix="0" xfId="0"/>
    <xf numFmtId="0" fontId="7" fillId="0" borderId="2" pivotButton="0" quotePrefix="0" xfId="0"/>
    <xf numFmtId="0" fontId="1" fillId="2" borderId="2" pivotButton="0" quotePrefix="0" xfId="0"/>
    <xf numFmtId="0" fontId="8" fillId="3" borderId="2" pivotButton="0" quotePrefix="0" xfId="0"/>
    <xf numFmtId="0" fontId="9" fillId="4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center" vertical="center"/>
    </xf>
    <xf numFmtId="0" fontId="9" fillId="6" borderId="0" applyAlignment="1" pivotButton="0" quotePrefix="0" xfId="0">
      <alignment horizontal="center" vertical="center"/>
    </xf>
    <xf numFmtId="0" fontId="10" fillId="0" borderId="0" pivotButton="0" quotePrefix="0" xfId="0"/>
    <xf numFmtId="0" fontId="11" fillId="0" borderId="0" pivotButton="0" quotePrefix="0" xfId="0"/>
    <xf numFmtId="0" fontId="9" fillId="7" borderId="2" applyAlignment="1" pivotButton="0" quotePrefix="0" xfId="0">
      <alignment horizontal="center" vertical="center"/>
    </xf>
    <xf numFmtId="164" fontId="5" fillId="2" borderId="2" pivotButton="0" quotePrefix="0" xfId="0"/>
    <xf numFmtId="10" fontId="5" fillId="2" borderId="2" pivotButton="0" quotePrefix="0" xfId="0"/>
    <xf numFmtId="165" fontId="5" fillId="2" borderId="2" pivotButton="0" quotePrefix="0" xfId="0"/>
    <xf numFmtId="166" fontId="5" fillId="2" borderId="2" pivotButton="0" quotePrefix="0" xfId="0"/>
    <xf numFmtId="3" fontId="5" fillId="2" borderId="2" pivotButton="0" quotePrefix="0" xfId="0"/>
    <xf numFmtId="164" fontId="6" fillId="0" borderId="2" pivotButton="0" quotePrefix="0" xfId="0"/>
    <xf numFmtId="0" fontId="12" fillId="0" borderId="0" pivotButton="0" quotePrefix="0" xfId="0"/>
    <xf numFmtId="167" fontId="5" fillId="2" borderId="2" pivotButton="0" quotePrefix="0" xfId="0"/>
  </cellXfs>
  <cellStyles count="2">
    <cellStyle name="Normal" xfId="0" builtinId="0" hidden="0"/>
    <cellStyle name="default" xfId="1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H26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2">
      <c r="B2" s="1" t="inlineStr">
        <is>
          <t>Mutual Fund Distribution Engine</t>
        </is>
      </c>
    </row>
    <row r="3">
      <c r="B3" s="2" t="inlineStr">
        <is>
          <t>NAV-based quarterly income distribution to unitholders</t>
        </is>
      </c>
    </row>
    <row r="5">
      <c r="B5" s="3" t="inlineStr">
        <is>
          <t>How to use this workbook</t>
        </is>
      </c>
    </row>
    <row r="6">
      <c r="B6" s="4" t="inlineStr">
        <is>
          <t>1. Review the 'Funds' sheet — fund-level inputs (NAV, distributable income per quarter).</t>
        </is>
      </c>
    </row>
    <row r="7">
      <c r="B7" s="4" t="inlineStr">
        <is>
          <t>2. Review the 'Investors' sheet — investor holdings (units held per fund per quarter).</t>
        </is>
      </c>
    </row>
    <row r="8">
      <c r="B8" s="4" t="inlineStr">
        <is>
          <t>3. Review the 'Tax_Rates' sheet — withholding tax rates by investor classification.</t>
        </is>
      </c>
    </row>
    <row r="9">
      <c r="B9" s="4" t="inlineStr">
        <is>
          <t>4. Click 'Run Distribution Calculation' to generate per-investor distribution amounts.</t>
        </is>
      </c>
    </row>
    <row r="10">
      <c r="B10" s="4" t="inlineStr">
        <is>
          <t>5. Output appears on the 'Distributions' sheet (gross, tax, net, reinvested units).</t>
        </is>
      </c>
    </row>
    <row r="11">
      <c r="B11" s="4" t="inlineStr">
        <is>
          <t>6. Use 'Generate Summary Report' for a fund-level rollup on the 'Summary' sheet.</t>
        </is>
      </c>
    </row>
    <row r="12">
      <c r="B12" s="4" t="inlineStr">
        <is>
          <t>7. Use 'Reset Outputs' to clear calculated results without touching inputs.</t>
        </is>
      </c>
    </row>
    <row r="14">
      <c r="B14" s="3" t="inlineStr">
        <is>
          <t>Color legend</t>
        </is>
      </c>
    </row>
    <row r="15">
      <c r="B15" s="5" t="inlineStr">
        <is>
          <t>Blue text</t>
        </is>
      </c>
      <c r="C15" s="4" t="inlineStr">
        <is>
          <t>Hardcoded inputs (edit these for scenarios)</t>
        </is>
      </c>
    </row>
    <row r="16">
      <c r="B16" s="6" t="inlineStr">
        <is>
          <t>Black text</t>
        </is>
      </c>
      <c r="C16" s="4" t="inlineStr">
        <is>
          <t>Formulas and calculations</t>
        </is>
      </c>
    </row>
    <row r="17">
      <c r="B17" s="7" t="inlineStr">
        <is>
          <t>Green text</t>
        </is>
      </c>
      <c r="C17" s="4" t="inlineStr">
        <is>
          <t>Links pulling from other sheets</t>
        </is>
      </c>
    </row>
    <row r="18">
      <c r="B18" s="8" t="inlineStr">
        <is>
          <t>Yellow fill</t>
        </is>
      </c>
      <c r="C18" s="4" t="inlineStr">
        <is>
          <t>Key assumption / input cell</t>
        </is>
      </c>
    </row>
    <row r="19">
      <c r="B19" s="9" t="inlineStr">
        <is>
          <t>Green fill</t>
        </is>
      </c>
      <c r="C19" s="4" t="inlineStr">
        <is>
          <t>Calculated result</t>
        </is>
      </c>
    </row>
    <row r="22">
      <c r="B22" s="3" t="inlineStr">
        <is>
          <t>Macro Actions</t>
        </is>
      </c>
    </row>
    <row r="23" ht="24" customHeight="1">
      <c r="B23" s="10" t="inlineStr">
        <is>
          <t>→ Run Distribution Calculation</t>
        </is>
      </c>
      <c r="E23" s="11" t="inlineStr">
        <is>
          <t>→ Generate Summary Report</t>
        </is>
      </c>
    </row>
    <row r="24" ht="24" customHeight="1">
      <c r="B24" s="12" t="inlineStr">
        <is>
          <t>→ Reset Outputs</t>
        </is>
      </c>
    </row>
    <row r="26">
      <c r="B26" s="13" t="inlineStr">
        <is>
          <t>Note: After opening, enable macros and assign the buttons to: RunDistributionCalculation, GenerateSummaryReport, ResetOutputs.</t>
        </is>
      </c>
    </row>
  </sheetData>
  <mergeCells count="18">
    <mergeCell ref="B8:H8"/>
    <mergeCell ref="C16:H16"/>
    <mergeCell ref="C19:H19"/>
    <mergeCell ref="B26:H26"/>
    <mergeCell ref="B9:H9"/>
    <mergeCell ref="B23:D23"/>
    <mergeCell ref="E23:G23"/>
    <mergeCell ref="C17:H17"/>
    <mergeCell ref="B12:H12"/>
    <mergeCell ref="B6:H6"/>
    <mergeCell ref="B2:H2"/>
    <mergeCell ref="C18:H18"/>
    <mergeCell ref="B7:H7"/>
    <mergeCell ref="B10:H10"/>
    <mergeCell ref="B11:H11"/>
    <mergeCell ref="B3:H3"/>
    <mergeCell ref="B24:D24"/>
    <mergeCell ref="C15:H1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I26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12" customWidth="1" min="2" max="2"/>
    <col width="22" customWidth="1" min="3" max="3"/>
    <col width="14" customWidth="1" min="4" max="4"/>
    <col width="20" customWidth="1" min="5" max="5"/>
    <col width="24" customWidth="1" min="6" max="6"/>
    <col width="24" customWidth="1" min="7" max="7"/>
    <col width="22" customWidth="1" min="8" max="8"/>
    <col width="18" customWidth="1" min="9" max="9"/>
  </cols>
  <sheetData>
    <row r="2">
      <c r="B2" s="1" t="inlineStr">
        <is>
          <t>Fund Master &amp; Period Inputs</t>
        </is>
      </c>
    </row>
    <row r="4">
      <c r="B4" s="14" t="inlineStr">
        <is>
          <t>Funds in scope: 3   |   Periods: Q1–Q4 2025</t>
        </is>
      </c>
    </row>
    <row r="6" ht="22" customHeight="1">
      <c r="B6" s="15" t="inlineStr">
        <is>
          <t>Fund Code</t>
        </is>
      </c>
      <c r="C6" s="15" t="inlineStr">
        <is>
          <t>Fund Name</t>
        </is>
      </c>
      <c r="D6" s="15" t="inlineStr">
        <is>
          <t>Strategy</t>
        </is>
      </c>
      <c r="E6" s="15" t="inlineStr">
        <is>
          <t>Inception NAV</t>
        </is>
      </c>
      <c r="F6" s="15" t="inlineStr">
        <is>
          <t>Mgmt Fee %</t>
        </is>
      </c>
      <c r="G6" s="15" t="inlineStr">
        <is>
          <t>Distribution Policy</t>
        </is>
      </c>
    </row>
    <row r="7">
      <c r="B7" s="5" t="inlineStr">
        <is>
          <t>EQGF</t>
        </is>
      </c>
      <c r="C7" s="5" t="inlineStr">
        <is>
          <t>Equity Growth Fund</t>
        </is>
      </c>
      <c r="D7" s="5" t="inlineStr">
        <is>
          <t>Equity</t>
        </is>
      </c>
      <c r="E7" s="16" t="n">
        <v>10</v>
      </c>
      <c r="F7" s="17" t="n">
        <v>0.015</v>
      </c>
      <c r="G7" s="5" t="inlineStr">
        <is>
          <t>Quarterly</t>
        </is>
      </c>
    </row>
    <row r="8">
      <c r="B8" s="5" t="inlineStr">
        <is>
          <t>BALF</t>
        </is>
      </c>
      <c r="C8" s="5" t="inlineStr">
        <is>
          <t>Balanced Advantage</t>
        </is>
      </c>
      <c r="D8" s="5" t="inlineStr">
        <is>
          <t>Hybrid</t>
        </is>
      </c>
      <c r="E8" s="16" t="n">
        <v>10</v>
      </c>
      <c r="F8" s="17" t="n">
        <v>0.0125</v>
      </c>
      <c r="G8" s="5" t="inlineStr">
        <is>
          <t>Quarterly</t>
        </is>
      </c>
    </row>
    <row r="9">
      <c r="B9" s="5" t="inlineStr">
        <is>
          <t>INCF</t>
        </is>
      </c>
      <c r="C9" s="5" t="inlineStr">
        <is>
          <t>Income Plus Fund</t>
        </is>
      </c>
      <c r="D9" s="5" t="inlineStr">
        <is>
          <t>Debt</t>
        </is>
      </c>
      <c r="E9" s="16" t="n">
        <v>10</v>
      </c>
      <c r="F9" s="17" t="n">
        <v>0.0075</v>
      </c>
      <c r="G9" s="5" t="inlineStr">
        <is>
          <t>Quarterly</t>
        </is>
      </c>
    </row>
    <row r="12">
      <c r="B12" s="3" t="inlineStr">
        <is>
          <t>Quarterly Period Inputs</t>
        </is>
      </c>
    </row>
    <row r="14" ht="22" customHeight="1">
      <c r="B14" s="15" t="inlineStr">
        <is>
          <t>Fund Code</t>
        </is>
      </c>
      <c r="C14" s="15" t="inlineStr">
        <is>
          <t>Period</t>
        </is>
      </c>
      <c r="D14" s="15" t="inlineStr">
        <is>
          <t>Period End Date</t>
        </is>
      </c>
      <c r="E14" s="15" t="inlineStr">
        <is>
          <t>NAV per Unit (end)</t>
        </is>
      </c>
      <c r="F14" s="15" t="inlineStr">
        <is>
          <t>Distributable Income ($)</t>
        </is>
      </c>
      <c r="G14" s="15" t="inlineStr">
        <is>
          <t>Total Units Outstanding</t>
        </is>
      </c>
      <c r="H14" s="15" t="inlineStr">
        <is>
          <t>Distribution per Unit</t>
        </is>
      </c>
    </row>
    <row r="15">
      <c r="B15" s="5" t="inlineStr">
        <is>
          <t>EQGF</t>
        </is>
      </c>
      <c r="C15" s="5" t="inlineStr">
        <is>
          <t>Q1 2025</t>
        </is>
      </c>
      <c r="D15" s="18" t="n">
        <v>45747</v>
      </c>
      <c r="E15" s="16" t="n">
        <v>10.45</v>
      </c>
      <c r="F15" s="19" t="n">
        <v>145000</v>
      </c>
      <c r="G15" s="20" t="n">
        <v>1250000</v>
      </c>
      <c r="H15" s="21">
        <f>IFERROR(F15/G15,0)</f>
        <v/>
      </c>
    </row>
    <row r="16">
      <c r="B16" s="5" t="inlineStr">
        <is>
          <t>EQGF</t>
        </is>
      </c>
      <c r="C16" s="5" t="inlineStr">
        <is>
          <t>Q2 2025</t>
        </is>
      </c>
      <c r="D16" s="18" t="n">
        <v>45838</v>
      </c>
      <c r="E16" s="16" t="n">
        <v>10.72</v>
      </c>
      <c r="F16" s="19" t="n">
        <v>162000</v>
      </c>
      <c r="G16" s="20" t="n">
        <v>1310000</v>
      </c>
      <c r="H16" s="21">
        <f>IFERROR(F16/G16,0)</f>
        <v/>
      </c>
    </row>
    <row r="17">
      <c r="B17" s="5" t="inlineStr">
        <is>
          <t>EQGF</t>
        </is>
      </c>
      <c r="C17" s="5" t="inlineStr">
        <is>
          <t>Q3 2025</t>
        </is>
      </c>
      <c r="D17" s="18" t="n">
        <v>45930</v>
      </c>
      <c r="E17" s="16" t="n">
        <v>10.58</v>
      </c>
      <c r="F17" s="19" t="n">
        <v>138000</v>
      </c>
      <c r="G17" s="20" t="n">
        <v>1345000</v>
      </c>
      <c r="H17" s="21">
        <f>IFERROR(F17/G17,0)</f>
        <v/>
      </c>
    </row>
    <row r="18">
      <c r="B18" s="5" t="inlineStr">
        <is>
          <t>EQGF</t>
        </is>
      </c>
      <c r="C18" s="5" t="inlineStr">
        <is>
          <t>Q4 2025</t>
        </is>
      </c>
      <c r="D18" s="18" t="n">
        <v>46022</v>
      </c>
      <c r="E18" s="16" t="n">
        <v>11.01</v>
      </c>
      <c r="F18" s="19" t="n">
        <v>175000</v>
      </c>
      <c r="G18" s="20" t="n">
        <v>1390000</v>
      </c>
      <c r="H18" s="21">
        <f>IFERROR(F18/G18,0)</f>
        <v/>
      </c>
    </row>
    <row r="19">
      <c r="B19" s="5" t="inlineStr">
        <is>
          <t>BALF</t>
        </is>
      </c>
      <c r="C19" s="5" t="inlineStr">
        <is>
          <t>Q1 2025</t>
        </is>
      </c>
      <c r="D19" s="18" t="n">
        <v>45747</v>
      </c>
      <c r="E19" s="16" t="n">
        <v>10.21</v>
      </c>
      <c r="F19" s="19" t="n">
        <v>98000</v>
      </c>
      <c r="G19" s="20" t="n">
        <v>875000</v>
      </c>
      <c r="H19" s="21">
        <f>IFERROR(F19/G19,0)</f>
        <v/>
      </c>
    </row>
    <row r="20">
      <c r="B20" s="5" t="inlineStr">
        <is>
          <t>BALF</t>
        </is>
      </c>
      <c r="C20" s="5" t="inlineStr">
        <is>
          <t>Q2 2025</t>
        </is>
      </c>
      <c r="D20" s="18" t="n">
        <v>45838</v>
      </c>
      <c r="E20" s="16" t="n">
        <v>10.35</v>
      </c>
      <c r="F20" s="19" t="n">
        <v>112000</v>
      </c>
      <c r="G20" s="20" t="n">
        <v>910000</v>
      </c>
      <c r="H20" s="21">
        <f>IFERROR(F20/G20,0)</f>
        <v/>
      </c>
    </row>
    <row r="21">
      <c r="B21" s="5" t="inlineStr">
        <is>
          <t>BALF</t>
        </is>
      </c>
      <c r="C21" s="5" t="inlineStr">
        <is>
          <t>Q3 2025</t>
        </is>
      </c>
      <c r="D21" s="18" t="n">
        <v>45930</v>
      </c>
      <c r="E21" s="16" t="n">
        <v>10.42</v>
      </c>
      <c r="F21" s="19" t="n">
        <v>105000</v>
      </c>
      <c r="G21" s="20" t="n">
        <v>932000</v>
      </c>
      <c r="H21" s="21">
        <f>IFERROR(F21/G21,0)</f>
        <v/>
      </c>
    </row>
    <row r="22">
      <c r="B22" s="5" t="inlineStr">
        <is>
          <t>BALF</t>
        </is>
      </c>
      <c r="C22" s="5" t="inlineStr">
        <is>
          <t>Q4 2025</t>
        </is>
      </c>
      <c r="D22" s="18" t="n">
        <v>46022</v>
      </c>
      <c r="E22" s="16" t="n">
        <v>10.56</v>
      </c>
      <c r="F22" s="19" t="n">
        <v>121000</v>
      </c>
      <c r="G22" s="20" t="n">
        <v>955000</v>
      </c>
      <c r="H22" s="21">
        <f>IFERROR(F22/G22,0)</f>
        <v/>
      </c>
    </row>
    <row r="23">
      <c r="B23" s="5" t="inlineStr">
        <is>
          <t>INCF</t>
        </is>
      </c>
      <c r="C23" s="5" t="inlineStr">
        <is>
          <t>Q1 2025</t>
        </is>
      </c>
      <c r="D23" s="18" t="n">
        <v>45747</v>
      </c>
      <c r="E23" s="16" t="n">
        <v>10.12</v>
      </c>
      <c r="F23" s="19" t="n">
        <v>72000</v>
      </c>
      <c r="G23" s="20" t="n">
        <v>620000</v>
      </c>
      <c r="H23" s="21">
        <f>IFERROR(F23/G23,0)</f>
        <v/>
      </c>
    </row>
    <row r="24">
      <c r="B24" s="5" t="inlineStr">
        <is>
          <t>INCF</t>
        </is>
      </c>
      <c r="C24" s="5" t="inlineStr">
        <is>
          <t>Q2 2025</t>
        </is>
      </c>
      <c r="D24" s="18" t="n">
        <v>45838</v>
      </c>
      <c r="E24" s="16" t="n">
        <v>10.18</v>
      </c>
      <c r="F24" s="19" t="n">
        <v>78000</v>
      </c>
      <c r="G24" s="20" t="n">
        <v>645000</v>
      </c>
      <c r="H24" s="21">
        <f>IFERROR(F24/G24,0)</f>
        <v/>
      </c>
    </row>
    <row r="25">
      <c r="B25" s="5" t="inlineStr">
        <is>
          <t>INCF</t>
        </is>
      </c>
      <c r="C25" s="5" t="inlineStr">
        <is>
          <t>Q3 2025</t>
        </is>
      </c>
      <c r="D25" s="18" t="n">
        <v>45930</v>
      </c>
      <c r="E25" s="16" t="n">
        <v>10.23</v>
      </c>
      <c r="F25" s="19" t="n">
        <v>81000</v>
      </c>
      <c r="G25" s="20" t="n">
        <v>668000</v>
      </c>
      <c r="H25" s="21">
        <f>IFERROR(F25/G25,0)</f>
        <v/>
      </c>
    </row>
    <row r="26">
      <c r="B26" s="5" t="inlineStr">
        <is>
          <t>INCF</t>
        </is>
      </c>
      <c r="C26" s="5" t="inlineStr">
        <is>
          <t>Q4 2025</t>
        </is>
      </c>
      <c r="D26" s="18" t="n">
        <v>46022</v>
      </c>
      <c r="E26" s="16" t="n">
        <v>10.29</v>
      </c>
      <c r="F26" s="19" t="n">
        <v>85000</v>
      </c>
      <c r="G26" s="20" t="n">
        <v>690000</v>
      </c>
      <c r="H26" s="21">
        <f>IFERROR(F26/G26,0)</f>
        <v/>
      </c>
    </row>
  </sheetData>
  <mergeCells count="2">
    <mergeCell ref="B2:I2"/>
    <mergeCell ref="B4:I4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S76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12" customWidth="1" min="2" max="2"/>
    <col width="24" customWidth="1" min="3" max="3"/>
    <col width="12" customWidth="1" min="4" max="4"/>
    <col width="14" customWidth="1" min="5" max="5"/>
    <col width="16" customWidth="1" min="6" max="6"/>
    <col width="14" customWidth="1" min="7" max="7"/>
    <col width="4" customWidth="1" min="8" max="8"/>
    <col width="12" customWidth="1" min="9" max="9"/>
    <col width="14" customWidth="1" min="10" max="10"/>
    <col width="14" customWidth="1" min="11" max="11"/>
    <col width="14" customWidth="1" min="12" max="12"/>
    <col width="14" customWidth="1" min="13" max="13"/>
  </cols>
  <sheetData>
    <row r="2">
      <c r="B2" s="1" t="inlineStr">
        <is>
          <t>Investor Master &amp; Holdings</t>
        </is>
      </c>
    </row>
    <row r="4">
      <c r="B4" s="14" t="inlineStr">
        <is>
          <t>25 investors across 3 funds   |   Holdings snapshot per quarter (units held at period end)</t>
        </is>
      </c>
    </row>
    <row r="6" ht="22" customHeight="1">
      <c r="B6" s="15" t="inlineStr">
        <is>
          <t>Investor ID</t>
        </is>
      </c>
      <c r="C6" s="15" t="inlineStr">
        <is>
          <t>Investor Name</t>
        </is>
      </c>
      <c r="D6" s="15" t="inlineStr">
        <is>
          <t>Type</t>
        </is>
      </c>
      <c r="E6" s="15" t="inlineStr">
        <is>
          <t>Tax Class</t>
        </is>
      </c>
      <c r="F6" s="15" t="inlineStr">
        <is>
          <t>Distribution Pref</t>
        </is>
      </c>
      <c r="G6" s="15" t="inlineStr">
        <is>
          <t>PAN/TIN</t>
        </is>
      </c>
      <c r="I6" s="22" t="inlineStr">
        <is>
          <t>Holdings (Units Held at Period End)</t>
        </is>
      </c>
    </row>
    <row r="7">
      <c r="B7" s="5" t="inlineStr">
        <is>
          <t>INV001</t>
        </is>
      </c>
      <c r="C7" s="5" t="inlineStr">
        <is>
          <t>Aarav Mehta</t>
        </is>
      </c>
      <c r="D7" s="5" t="inlineStr">
        <is>
          <t>Individual</t>
        </is>
      </c>
      <c r="E7" s="5" t="inlineStr">
        <is>
          <t>Resident</t>
        </is>
      </c>
      <c r="F7" s="5" t="inlineStr">
        <is>
          <t>Cash</t>
        </is>
      </c>
      <c r="G7" s="5" t="inlineStr">
        <is>
          <t>ABCDE1234F</t>
        </is>
      </c>
    </row>
    <row r="8">
      <c r="B8" s="5" t="inlineStr">
        <is>
          <t>INV002</t>
        </is>
      </c>
      <c r="C8" s="5" t="inlineStr">
        <is>
          <t>Priya Sharma</t>
        </is>
      </c>
      <c r="D8" s="5" t="inlineStr">
        <is>
          <t>Individual</t>
        </is>
      </c>
      <c r="E8" s="5" t="inlineStr">
        <is>
          <t>Resident</t>
        </is>
      </c>
      <c r="F8" s="5" t="inlineStr">
        <is>
          <t>Reinvest</t>
        </is>
      </c>
      <c r="G8" s="5" t="inlineStr">
        <is>
          <t>ABCDE2234G</t>
        </is>
      </c>
    </row>
    <row r="9">
      <c r="B9" s="5" t="inlineStr">
        <is>
          <t>INV003</t>
        </is>
      </c>
      <c r="C9" s="5" t="inlineStr">
        <is>
          <t>Rohan Iyer</t>
        </is>
      </c>
      <c r="D9" s="5" t="inlineStr">
        <is>
          <t>Individual</t>
        </is>
      </c>
      <c r="E9" s="5" t="inlineStr">
        <is>
          <t>Resident</t>
        </is>
      </c>
      <c r="F9" s="5" t="inlineStr">
        <is>
          <t>Cash</t>
        </is>
      </c>
      <c r="G9" s="5" t="inlineStr">
        <is>
          <t>ABCDE3234H</t>
        </is>
      </c>
    </row>
    <row r="10">
      <c r="B10" s="5" t="inlineStr">
        <is>
          <t>INV004</t>
        </is>
      </c>
      <c r="C10" s="5" t="inlineStr">
        <is>
          <t>Sneha Kapoor</t>
        </is>
      </c>
      <c r="D10" s="5" t="inlineStr">
        <is>
          <t>Individual</t>
        </is>
      </c>
      <c r="E10" s="5" t="inlineStr">
        <is>
          <t>NRI</t>
        </is>
      </c>
      <c r="F10" s="5" t="inlineStr">
        <is>
          <t>Cash</t>
        </is>
      </c>
      <c r="G10" s="5" t="inlineStr">
        <is>
          <t>ABCDE4234J</t>
        </is>
      </c>
    </row>
    <row r="11">
      <c r="B11" s="5" t="inlineStr">
        <is>
          <t>INV005</t>
        </is>
      </c>
      <c r="C11" s="5" t="inlineStr">
        <is>
          <t>Vikram Singh</t>
        </is>
      </c>
      <c r="D11" s="5" t="inlineStr">
        <is>
          <t>Individual</t>
        </is>
      </c>
      <c r="E11" s="5" t="inlineStr">
        <is>
          <t>Resident</t>
        </is>
      </c>
      <c r="F11" s="5" t="inlineStr">
        <is>
          <t>Reinvest</t>
        </is>
      </c>
      <c r="G11" s="5" t="inlineStr">
        <is>
          <t>ABCDE5234K</t>
        </is>
      </c>
    </row>
    <row r="12">
      <c r="B12" s="5" t="inlineStr">
        <is>
          <t>INV006</t>
        </is>
      </c>
      <c r="C12" s="5" t="inlineStr">
        <is>
          <t>Anita Desai</t>
        </is>
      </c>
      <c r="D12" s="5" t="inlineStr">
        <is>
          <t>Individual</t>
        </is>
      </c>
      <c r="E12" s="5" t="inlineStr">
        <is>
          <t>Senior</t>
        </is>
      </c>
      <c r="F12" s="5" t="inlineStr">
        <is>
          <t>Cash</t>
        </is>
      </c>
      <c r="G12" s="5" t="inlineStr">
        <is>
          <t>ABCDE6234L</t>
        </is>
      </c>
    </row>
    <row r="13">
      <c r="B13" s="5" t="inlineStr">
        <is>
          <t>INV007</t>
        </is>
      </c>
      <c r="C13" s="5" t="inlineStr">
        <is>
          <t>Karan Bhat</t>
        </is>
      </c>
      <c r="D13" s="5" t="inlineStr">
        <is>
          <t>Individual</t>
        </is>
      </c>
      <c r="E13" s="5" t="inlineStr">
        <is>
          <t>Resident</t>
        </is>
      </c>
      <c r="F13" s="5" t="inlineStr">
        <is>
          <t>Cash</t>
        </is>
      </c>
      <c r="G13" s="5" t="inlineStr">
        <is>
          <t>ABCDE7234M</t>
        </is>
      </c>
    </row>
    <row r="14">
      <c r="B14" s="5" t="inlineStr">
        <is>
          <t>INV008</t>
        </is>
      </c>
      <c r="C14" s="5" t="inlineStr">
        <is>
          <t>Meera Krishnan</t>
        </is>
      </c>
      <c r="D14" s="5" t="inlineStr">
        <is>
          <t>Individual</t>
        </is>
      </c>
      <c r="E14" s="5" t="inlineStr">
        <is>
          <t>NRI</t>
        </is>
      </c>
      <c r="F14" s="5" t="inlineStr">
        <is>
          <t>Reinvest</t>
        </is>
      </c>
      <c r="G14" s="5" t="inlineStr">
        <is>
          <t>ABCDE8234N</t>
        </is>
      </c>
    </row>
    <row r="15">
      <c r="B15" s="5" t="inlineStr">
        <is>
          <t>INV009</t>
        </is>
      </c>
      <c r="C15" s="5" t="inlineStr">
        <is>
          <t>Arjun Patel</t>
        </is>
      </c>
      <c r="D15" s="5" t="inlineStr">
        <is>
          <t>Individual</t>
        </is>
      </c>
      <c r="E15" s="5" t="inlineStr">
        <is>
          <t>Resident</t>
        </is>
      </c>
      <c r="F15" s="5" t="inlineStr">
        <is>
          <t>Cash</t>
        </is>
      </c>
      <c r="G15" s="5" t="inlineStr">
        <is>
          <t>ABCDE9234P</t>
        </is>
      </c>
    </row>
    <row r="16">
      <c r="B16" s="5" t="inlineStr">
        <is>
          <t>INV010</t>
        </is>
      </c>
      <c r="C16" s="5" t="inlineStr">
        <is>
          <t>Divya Rao</t>
        </is>
      </c>
      <c r="D16" s="5" t="inlineStr">
        <is>
          <t>Individual</t>
        </is>
      </c>
      <c r="E16" s="5" t="inlineStr">
        <is>
          <t>Senior</t>
        </is>
      </c>
      <c r="F16" s="5" t="inlineStr">
        <is>
          <t>Reinvest</t>
        </is>
      </c>
      <c r="G16" s="5" t="inlineStr">
        <is>
          <t>ABCDF1234Q</t>
        </is>
      </c>
    </row>
    <row r="17">
      <c r="B17" s="5" t="inlineStr">
        <is>
          <t>INV011</t>
        </is>
      </c>
      <c r="C17" s="5" t="inlineStr">
        <is>
          <t>Acme Capital LLP</t>
        </is>
      </c>
      <c r="D17" s="5" t="inlineStr">
        <is>
          <t>Corporate</t>
        </is>
      </c>
      <c r="E17" s="5" t="inlineStr">
        <is>
          <t>Domestic Co</t>
        </is>
      </c>
      <c r="F17" s="5" t="inlineStr">
        <is>
          <t>Cash</t>
        </is>
      </c>
      <c r="G17" s="5" t="inlineStr">
        <is>
          <t>AABCA1111R</t>
        </is>
      </c>
    </row>
    <row r="18">
      <c r="B18" s="5" t="inlineStr">
        <is>
          <t>INV012</t>
        </is>
      </c>
      <c r="C18" s="5" t="inlineStr">
        <is>
          <t>Helios Trading Pvt</t>
        </is>
      </c>
      <c r="D18" s="5" t="inlineStr">
        <is>
          <t>Corporate</t>
        </is>
      </c>
      <c r="E18" s="5" t="inlineStr">
        <is>
          <t>Domestic Co</t>
        </is>
      </c>
      <c r="F18" s="5" t="inlineStr">
        <is>
          <t>Cash</t>
        </is>
      </c>
      <c r="G18" s="5" t="inlineStr">
        <is>
          <t>AABCH2222S</t>
        </is>
      </c>
    </row>
    <row r="19">
      <c r="B19" s="5" t="inlineStr">
        <is>
          <t>INV013</t>
        </is>
      </c>
      <c r="C19" s="5" t="inlineStr">
        <is>
          <t>Northwind Holdings</t>
        </is>
      </c>
      <c r="D19" s="5" t="inlineStr">
        <is>
          <t>Corporate</t>
        </is>
      </c>
      <c r="E19" s="5" t="inlineStr">
        <is>
          <t>Domestic Co</t>
        </is>
      </c>
      <c r="F19" s="5" t="inlineStr">
        <is>
          <t>Reinvest</t>
        </is>
      </c>
      <c r="G19" s="5" t="inlineStr">
        <is>
          <t>AABCN3333T</t>
        </is>
      </c>
    </row>
    <row r="20">
      <c r="B20" s="5" t="inlineStr">
        <is>
          <t>INV014</t>
        </is>
      </c>
      <c r="C20" s="5" t="inlineStr">
        <is>
          <t>Sterling Family Trust</t>
        </is>
      </c>
      <c r="D20" s="5" t="inlineStr">
        <is>
          <t>Trust</t>
        </is>
      </c>
      <c r="E20" s="5" t="inlineStr">
        <is>
          <t>Trust</t>
        </is>
      </c>
      <c r="F20" s="5" t="inlineStr">
        <is>
          <t>Cash</t>
        </is>
      </c>
      <c r="G20" s="5" t="inlineStr">
        <is>
          <t>AABTS4444U</t>
        </is>
      </c>
    </row>
    <row r="21">
      <c r="B21" s="5" t="inlineStr">
        <is>
          <t>INV015</t>
        </is>
      </c>
      <c r="C21" s="5" t="inlineStr">
        <is>
          <t>Pinnacle Wealth Trust</t>
        </is>
      </c>
      <c r="D21" s="5" t="inlineStr">
        <is>
          <t>Trust</t>
        </is>
      </c>
      <c r="E21" s="5" t="inlineStr">
        <is>
          <t>Trust</t>
        </is>
      </c>
      <c r="F21" s="5" t="inlineStr">
        <is>
          <t>Reinvest</t>
        </is>
      </c>
      <c r="G21" s="5" t="inlineStr">
        <is>
          <t>AABTP5555V</t>
        </is>
      </c>
    </row>
    <row r="22">
      <c r="B22" s="5" t="inlineStr">
        <is>
          <t>INV016</t>
        </is>
      </c>
      <c r="C22" s="5" t="inlineStr">
        <is>
          <t>Banyan Endowment</t>
        </is>
      </c>
      <c r="D22" s="5" t="inlineStr">
        <is>
          <t>Trust</t>
        </is>
      </c>
      <c r="E22" s="5" t="inlineStr">
        <is>
          <t>Trust Exempt</t>
        </is>
      </c>
      <c r="F22" s="5" t="inlineStr">
        <is>
          <t>Cash</t>
        </is>
      </c>
      <c r="G22" s="5" t="inlineStr">
        <is>
          <t>AABTB6666W</t>
        </is>
      </c>
    </row>
    <row r="23">
      <c r="B23" s="5" t="inlineStr">
        <is>
          <t>INV017</t>
        </is>
      </c>
      <c r="C23" s="5" t="inlineStr">
        <is>
          <t>Emerald Pension Fund</t>
        </is>
      </c>
      <c r="D23" s="5" t="inlineStr">
        <is>
          <t>Trust</t>
        </is>
      </c>
      <c r="E23" s="5" t="inlineStr">
        <is>
          <t>Trust Exempt</t>
        </is>
      </c>
      <c r="F23" s="5" t="inlineStr">
        <is>
          <t>Reinvest</t>
        </is>
      </c>
      <c r="G23" s="5" t="inlineStr">
        <is>
          <t>AABTE7777X</t>
        </is>
      </c>
    </row>
    <row r="24">
      <c r="B24" s="5" t="inlineStr">
        <is>
          <t>INV018</t>
        </is>
      </c>
      <c r="C24" s="5" t="inlineStr">
        <is>
          <t>Rahul Verma</t>
        </is>
      </c>
      <c r="D24" s="5" t="inlineStr">
        <is>
          <t>Individual</t>
        </is>
      </c>
      <c r="E24" s="5" t="inlineStr">
        <is>
          <t>Resident</t>
        </is>
      </c>
      <c r="F24" s="5" t="inlineStr">
        <is>
          <t>Cash</t>
        </is>
      </c>
      <c r="G24" s="5" t="inlineStr">
        <is>
          <t>ABCDG1234Y</t>
        </is>
      </c>
    </row>
    <row r="25">
      <c r="B25" s="5" t="inlineStr">
        <is>
          <t>INV019</t>
        </is>
      </c>
      <c r="C25" s="5" t="inlineStr">
        <is>
          <t>Sanya Joshi</t>
        </is>
      </c>
      <c r="D25" s="5" t="inlineStr">
        <is>
          <t>Individual</t>
        </is>
      </c>
      <c r="E25" s="5" t="inlineStr">
        <is>
          <t>Resident</t>
        </is>
      </c>
      <c r="F25" s="5" t="inlineStr">
        <is>
          <t>Reinvest</t>
        </is>
      </c>
      <c r="G25" s="5" t="inlineStr">
        <is>
          <t>ABCDG2234Z</t>
        </is>
      </c>
    </row>
    <row r="26">
      <c r="B26" s="5" t="inlineStr">
        <is>
          <t>INV020</t>
        </is>
      </c>
      <c r="C26" s="5" t="inlineStr">
        <is>
          <t>Devansh Roy</t>
        </is>
      </c>
      <c r="D26" s="5" t="inlineStr">
        <is>
          <t>Individual</t>
        </is>
      </c>
      <c r="E26" s="5" t="inlineStr">
        <is>
          <t>NRI</t>
        </is>
      </c>
      <c r="F26" s="5" t="inlineStr">
        <is>
          <t>Cash</t>
        </is>
      </c>
      <c r="G26" s="5" t="inlineStr">
        <is>
          <t>ABCDG3234A</t>
        </is>
      </c>
    </row>
    <row r="27">
      <c r="B27" s="5" t="inlineStr">
        <is>
          <t>INV021</t>
        </is>
      </c>
      <c r="C27" s="5" t="inlineStr">
        <is>
          <t>Ishaan Pillai</t>
        </is>
      </c>
      <c r="D27" s="5" t="inlineStr">
        <is>
          <t>Individual</t>
        </is>
      </c>
      <c r="E27" s="5" t="inlineStr">
        <is>
          <t>Resident</t>
        </is>
      </c>
      <c r="F27" s="5" t="inlineStr">
        <is>
          <t>Reinvest</t>
        </is>
      </c>
      <c r="G27" s="5" t="inlineStr">
        <is>
          <t>ABCDG4234B</t>
        </is>
      </c>
    </row>
    <row r="28">
      <c r="B28" s="5" t="inlineStr">
        <is>
          <t>INV022</t>
        </is>
      </c>
      <c r="C28" s="5" t="inlineStr">
        <is>
          <t>Maya Reddy</t>
        </is>
      </c>
      <c r="D28" s="5" t="inlineStr">
        <is>
          <t>Individual</t>
        </is>
      </c>
      <c r="E28" s="5" t="inlineStr">
        <is>
          <t>Senior</t>
        </is>
      </c>
      <c r="F28" s="5" t="inlineStr">
        <is>
          <t>Cash</t>
        </is>
      </c>
      <c r="G28" s="5" t="inlineStr">
        <is>
          <t>ABCDG5234C</t>
        </is>
      </c>
    </row>
    <row r="29">
      <c r="B29" s="5" t="inlineStr">
        <is>
          <t>INV023</t>
        </is>
      </c>
      <c r="C29" s="5" t="inlineStr">
        <is>
          <t>Quartz Advisors LLP</t>
        </is>
      </c>
      <c r="D29" s="5" t="inlineStr">
        <is>
          <t>Corporate</t>
        </is>
      </c>
      <c r="E29" s="5" t="inlineStr">
        <is>
          <t>Domestic Co</t>
        </is>
      </c>
      <c r="F29" s="5" t="inlineStr">
        <is>
          <t>Reinvest</t>
        </is>
      </c>
      <c r="G29" s="5" t="inlineStr">
        <is>
          <t>AABCQ8888D</t>
        </is>
      </c>
    </row>
    <row r="30">
      <c r="B30" s="5" t="inlineStr">
        <is>
          <t>INV024</t>
        </is>
      </c>
      <c r="C30" s="5" t="inlineStr">
        <is>
          <t>Lotus Holdings Pte</t>
        </is>
      </c>
      <c r="D30" s="5" t="inlineStr">
        <is>
          <t>Corporate</t>
        </is>
      </c>
      <c r="E30" s="5" t="inlineStr">
        <is>
          <t>Foreign Co</t>
        </is>
      </c>
      <c r="F30" s="5" t="inlineStr">
        <is>
          <t>Cash</t>
        </is>
      </c>
      <c r="G30" s="5" t="inlineStr">
        <is>
          <t>FFFCL9999E</t>
        </is>
      </c>
    </row>
    <row r="31">
      <c r="B31" s="5" t="inlineStr">
        <is>
          <t>INV025</t>
        </is>
      </c>
      <c r="C31" s="5" t="inlineStr">
        <is>
          <t>Banyan Tree Fund Ltd</t>
        </is>
      </c>
      <c r="D31" s="5" t="inlineStr">
        <is>
          <t>Corporate</t>
        </is>
      </c>
      <c r="E31" s="5" t="inlineStr">
        <is>
          <t>Foreign Co</t>
        </is>
      </c>
      <c r="F31" s="5" t="inlineStr">
        <is>
          <t>Reinvest</t>
        </is>
      </c>
      <c r="G31" s="5" t="inlineStr">
        <is>
          <t>FFFCB1010F</t>
        </is>
      </c>
    </row>
    <row r="34">
      <c r="B34" s="3" t="inlineStr">
        <is>
          <t>Holdings Detail (Investor × Fund × Period)</t>
        </is>
      </c>
    </row>
    <row r="36" ht="22" customHeight="1">
      <c r="B36" s="15" t="inlineStr">
        <is>
          <t>Investor ID</t>
        </is>
      </c>
      <c r="C36" s="15" t="inlineStr">
        <is>
          <t>Fund Code</t>
        </is>
      </c>
      <c r="D36" s="15" t="inlineStr">
        <is>
          <t>Q1 2025</t>
        </is>
      </c>
      <c r="E36" s="15" t="inlineStr">
        <is>
          <t>Q2 2025</t>
        </is>
      </c>
      <c r="F36" s="15" t="inlineStr">
        <is>
          <t>Q3 2025</t>
        </is>
      </c>
      <c r="G36" s="15" t="inlineStr">
        <is>
          <t>Q4 2025</t>
        </is>
      </c>
    </row>
    <row r="37">
      <c r="B37" s="5" t="inlineStr">
        <is>
          <t>INV001</t>
        </is>
      </c>
      <c r="C37" s="5" t="inlineStr">
        <is>
          <t>EQGF</t>
        </is>
      </c>
      <c r="D37" s="23" t="n">
        <v>10312.5484</v>
      </c>
      <c r="E37" s="23" t="n">
        <v>10126.9314</v>
      </c>
      <c r="F37" s="23" t="n">
        <v>10045.9397</v>
      </c>
      <c r="G37" s="23" t="n">
        <v>10001.9862</v>
      </c>
    </row>
    <row r="38">
      <c r="B38" s="5" t="inlineStr">
        <is>
          <t>INV001</t>
        </is>
      </c>
      <c r="C38" s="5" t="inlineStr">
        <is>
          <t>INCF</t>
        </is>
      </c>
      <c r="D38" s="23" t="n">
        <v>17520.0106</v>
      </c>
      <c r="E38" s="23" t="n">
        <v>18118.073</v>
      </c>
      <c r="F38" s="23" t="n">
        <v>18867.6968</v>
      </c>
      <c r="G38" s="23" t="n">
        <v>18605.1664</v>
      </c>
    </row>
    <row r="39">
      <c r="B39" s="5" t="inlineStr">
        <is>
          <t>INV002</t>
        </is>
      </c>
      <c r="C39" s="5" t="inlineStr">
        <is>
          <t>EQGF</t>
        </is>
      </c>
      <c r="D39" s="23" t="n">
        <v>7484.9837</v>
      </c>
      <c r="E39" s="23" t="n">
        <v>7353.1266</v>
      </c>
      <c r="F39" s="23" t="n">
        <v>7261.1466</v>
      </c>
      <c r="G39" s="23" t="n">
        <v>7372.7858</v>
      </c>
    </row>
    <row r="40">
      <c r="B40" s="5" t="inlineStr">
        <is>
          <t>INV003</t>
        </is>
      </c>
      <c r="C40" s="5" t="inlineStr">
        <is>
          <t>BALF</t>
        </is>
      </c>
      <c r="D40" s="23" t="n">
        <v>3398.0395</v>
      </c>
      <c r="E40" s="23" t="n">
        <v>3384.1314</v>
      </c>
      <c r="F40" s="23" t="n">
        <v>3458.551</v>
      </c>
      <c r="G40" s="23" t="n">
        <v>3521.3095</v>
      </c>
    </row>
    <row r="41">
      <c r="B41" s="5" t="inlineStr">
        <is>
          <t>INV004</t>
        </is>
      </c>
      <c r="C41" s="5" t="inlineStr">
        <is>
          <t>EQGF</t>
        </is>
      </c>
      <c r="D41" s="23" t="n">
        <v>4865.7281</v>
      </c>
      <c r="E41" s="23" t="n">
        <v>4997.7901</v>
      </c>
      <c r="F41" s="23" t="n">
        <v>5171.4855</v>
      </c>
      <c r="G41" s="23" t="n">
        <v>5070.4084</v>
      </c>
    </row>
    <row r="42">
      <c r="B42" s="5" t="inlineStr">
        <is>
          <t>INV004</t>
        </is>
      </c>
      <c r="C42" s="5" t="inlineStr">
        <is>
          <t>BALF</t>
        </is>
      </c>
      <c r="D42" s="23" t="n">
        <v>15087.2888</v>
      </c>
      <c r="E42" s="23" t="n">
        <v>15628.1855</v>
      </c>
      <c r="F42" s="23" t="n">
        <v>15584.7398</v>
      </c>
      <c r="G42" s="23" t="n">
        <v>15442.6625</v>
      </c>
    </row>
    <row r="43">
      <c r="B43" s="5" t="inlineStr">
        <is>
          <t>INV005</t>
        </is>
      </c>
      <c r="C43" s="5" t="inlineStr">
        <is>
          <t>INCF</t>
        </is>
      </c>
      <c r="D43" s="23" t="n">
        <v>21272.6222</v>
      </c>
      <c r="E43" s="23" t="n">
        <v>21419.9896</v>
      </c>
      <c r="F43" s="23" t="n">
        <v>20936.3191</v>
      </c>
      <c r="G43" s="23" t="n">
        <v>20659.3347</v>
      </c>
    </row>
    <row r="44">
      <c r="B44" s="5" t="inlineStr">
        <is>
          <t>INV006</t>
        </is>
      </c>
      <c r="C44" s="5" t="inlineStr">
        <is>
          <t>BALF</t>
        </is>
      </c>
      <c r="D44" s="23" t="n">
        <v>15712.4155</v>
      </c>
      <c r="E44" s="23" t="n">
        <v>16157.0467</v>
      </c>
      <c r="F44" s="23" t="n">
        <v>16715.6</v>
      </c>
      <c r="G44" s="23" t="n">
        <v>17235.1413</v>
      </c>
    </row>
    <row r="45">
      <c r="B45" s="5" t="inlineStr">
        <is>
          <t>INV006</t>
        </is>
      </c>
      <c r="C45" s="5" t="inlineStr">
        <is>
          <t>INCF</t>
        </is>
      </c>
      <c r="D45" s="23" t="n">
        <v>14115.8776</v>
      </c>
      <c r="E45" s="23" t="n">
        <v>14932.4707</v>
      </c>
      <c r="F45" s="23" t="n">
        <v>14936.6929</v>
      </c>
      <c r="G45" s="23" t="n">
        <v>15215.1553</v>
      </c>
    </row>
    <row r="46">
      <c r="B46" s="5" t="inlineStr">
        <is>
          <t>INV007</t>
        </is>
      </c>
      <c r="C46" s="5" t="inlineStr">
        <is>
          <t>EQGF</t>
        </is>
      </c>
      <c r="D46" s="23" t="n">
        <v>12782.2606</v>
      </c>
      <c r="E46" s="23" t="n">
        <v>13159.1018</v>
      </c>
      <c r="F46" s="23" t="n">
        <v>13671.4719</v>
      </c>
      <c r="G46" s="23" t="n">
        <v>13950.5702</v>
      </c>
    </row>
    <row r="47">
      <c r="B47" s="5" t="inlineStr">
        <is>
          <t>INV008</t>
        </is>
      </c>
      <c r="C47" s="5" t="inlineStr">
        <is>
          <t>EQGF</t>
        </is>
      </c>
      <c r="D47" s="23" t="n">
        <v>11159.4339</v>
      </c>
      <c r="E47" s="23" t="n">
        <v>10977.1552</v>
      </c>
      <c r="F47" s="23" t="n">
        <v>10847.9745</v>
      </c>
      <c r="G47" s="23" t="n">
        <v>10850.7641</v>
      </c>
    </row>
    <row r="48">
      <c r="B48" s="5" t="inlineStr">
        <is>
          <t>INV008</t>
        </is>
      </c>
      <c r="C48" s="5" t="inlineStr">
        <is>
          <t>BALF</t>
        </is>
      </c>
      <c r="D48" s="23" t="n">
        <v>4196.8797</v>
      </c>
      <c r="E48" s="23" t="n">
        <v>4191.1017</v>
      </c>
      <c r="F48" s="23" t="n">
        <v>4099.2332</v>
      </c>
      <c r="G48" s="23" t="n">
        <v>4097.012</v>
      </c>
    </row>
    <row r="49">
      <c r="B49" s="5" t="inlineStr">
        <is>
          <t>INV008</t>
        </is>
      </c>
      <c r="C49" s="5" t="inlineStr">
        <is>
          <t>INCF</t>
        </is>
      </c>
      <c r="D49" s="23" t="n">
        <v>15806.6356</v>
      </c>
      <c r="E49" s="23" t="n">
        <v>15951.8444</v>
      </c>
      <c r="F49" s="23" t="n">
        <v>15945.6946</v>
      </c>
      <c r="G49" s="23" t="n">
        <v>15860.6322</v>
      </c>
    </row>
    <row r="50">
      <c r="B50" s="5" t="inlineStr">
        <is>
          <t>INV009</t>
        </is>
      </c>
      <c r="C50" s="5" t="inlineStr">
        <is>
          <t>INCF</t>
        </is>
      </c>
      <c r="D50" s="23" t="n">
        <v>9538.623</v>
      </c>
      <c r="E50" s="23" t="n">
        <v>10062.6021</v>
      </c>
      <c r="F50" s="23" t="n">
        <v>10282.3978</v>
      </c>
      <c r="G50" s="23" t="n">
        <v>10515.1828</v>
      </c>
    </row>
    <row r="51">
      <c r="B51" s="5" t="inlineStr">
        <is>
          <t>INV010</t>
        </is>
      </c>
      <c r="C51" s="5" t="inlineStr">
        <is>
          <t>BALF</t>
        </is>
      </c>
      <c r="D51" s="23" t="n">
        <v>5567.0797</v>
      </c>
      <c r="E51" s="23" t="n">
        <v>5780.4667</v>
      </c>
      <c r="F51" s="23" t="n">
        <v>5682.6161</v>
      </c>
      <c r="G51" s="23" t="n">
        <v>5719.9048</v>
      </c>
    </row>
    <row r="52">
      <c r="B52" s="5" t="inlineStr">
        <is>
          <t>INV011</t>
        </is>
      </c>
      <c r="C52" s="5" t="inlineStr">
        <is>
          <t>EQGF</t>
        </is>
      </c>
      <c r="D52" s="23" t="n">
        <v>14863.8036</v>
      </c>
      <c r="E52" s="23" t="n">
        <v>15327.554</v>
      </c>
      <c r="F52" s="23" t="n">
        <v>15550.6616</v>
      </c>
      <c r="G52" s="23" t="n">
        <v>15984.8827</v>
      </c>
    </row>
    <row r="53">
      <c r="B53" s="5" t="inlineStr">
        <is>
          <t>INV011</t>
        </is>
      </c>
      <c r="C53" s="5" t="inlineStr">
        <is>
          <t>BALF</t>
        </is>
      </c>
      <c r="D53" s="23" t="n">
        <v>15642.7788</v>
      </c>
      <c r="E53" s="23" t="n">
        <v>16301.0268</v>
      </c>
      <c r="F53" s="23" t="n">
        <v>16110.6935</v>
      </c>
      <c r="G53" s="23" t="n">
        <v>15824.6806</v>
      </c>
    </row>
    <row r="54">
      <c r="B54" s="5" t="inlineStr">
        <is>
          <t>INV012</t>
        </is>
      </c>
      <c r="C54" s="5" t="inlineStr">
        <is>
          <t>EQGF</t>
        </is>
      </c>
      <c r="D54" s="23" t="n">
        <v>6100.8896</v>
      </c>
      <c r="E54" s="23" t="n">
        <v>6109.5484</v>
      </c>
      <c r="F54" s="23" t="n">
        <v>6029.3827</v>
      </c>
      <c r="G54" s="23" t="n">
        <v>6306.7565</v>
      </c>
    </row>
    <row r="55">
      <c r="B55" s="5" t="inlineStr">
        <is>
          <t>INV012</t>
        </is>
      </c>
      <c r="C55" s="5" t="inlineStr">
        <is>
          <t>INCF</t>
        </is>
      </c>
      <c r="D55" s="23" t="n">
        <v>19898.2497</v>
      </c>
      <c r="E55" s="23" t="n">
        <v>20001.2078</v>
      </c>
      <c r="F55" s="23" t="n">
        <v>20449.9368</v>
      </c>
      <c r="G55" s="23" t="n">
        <v>20607.2834</v>
      </c>
    </row>
    <row r="56">
      <c r="B56" s="5" t="inlineStr">
        <is>
          <t>INV013</t>
        </is>
      </c>
      <c r="C56" s="5" t="inlineStr">
        <is>
          <t>BALF</t>
        </is>
      </c>
      <c r="D56" s="23" t="n">
        <v>16718.2138</v>
      </c>
      <c r="E56" s="23" t="n">
        <v>16997.5442</v>
      </c>
      <c r="F56" s="23" t="n">
        <v>16847.8029</v>
      </c>
      <c r="G56" s="23" t="n">
        <v>16801.7061</v>
      </c>
    </row>
    <row r="57">
      <c r="B57" s="5" t="inlineStr">
        <is>
          <t>INV013</t>
        </is>
      </c>
      <c r="C57" s="5" t="inlineStr">
        <is>
          <t>INCF</t>
        </is>
      </c>
      <c r="D57" s="23" t="n">
        <v>14543.2583</v>
      </c>
      <c r="E57" s="23" t="n">
        <v>14558.0827</v>
      </c>
      <c r="F57" s="23" t="n">
        <v>14802.1763</v>
      </c>
      <c r="G57" s="23" t="n">
        <v>15436.4141</v>
      </c>
    </row>
    <row r="58">
      <c r="B58" s="5" t="inlineStr">
        <is>
          <t>INV014</t>
        </is>
      </c>
      <c r="C58" s="5" t="inlineStr">
        <is>
          <t>EQGF</t>
        </is>
      </c>
      <c r="D58" s="23" t="n">
        <v>7192.2066</v>
      </c>
      <c r="E58" s="23" t="n">
        <v>7174.5545</v>
      </c>
      <c r="F58" s="23" t="n">
        <v>7531.8689</v>
      </c>
      <c r="G58" s="23" t="n">
        <v>7649.8695</v>
      </c>
    </row>
    <row r="59">
      <c r="B59" s="5" t="inlineStr">
        <is>
          <t>INV015</t>
        </is>
      </c>
      <c r="C59" s="5" t="inlineStr">
        <is>
          <t>EQGF</t>
        </is>
      </c>
      <c r="D59" s="23" t="n">
        <v>3181.8224</v>
      </c>
      <c r="E59" s="23" t="n">
        <v>3130.1792</v>
      </c>
      <c r="F59" s="23" t="n">
        <v>3063.7315</v>
      </c>
      <c r="G59" s="23" t="n">
        <v>3137.0197</v>
      </c>
    </row>
    <row r="60">
      <c r="B60" s="5" t="inlineStr">
        <is>
          <t>INV015</t>
        </is>
      </c>
      <c r="C60" s="5" t="inlineStr">
        <is>
          <t>BALF</t>
        </is>
      </c>
      <c r="D60" s="23" t="n">
        <v>14881.1905</v>
      </c>
      <c r="E60" s="23" t="n">
        <v>15086.1461</v>
      </c>
      <c r="F60" s="23" t="n">
        <v>14710.2328</v>
      </c>
      <c r="G60" s="23" t="n">
        <v>14808.9877</v>
      </c>
    </row>
    <row r="61">
      <c r="B61" s="5" t="inlineStr">
        <is>
          <t>INV015</t>
        </is>
      </c>
      <c r="C61" s="5" t="inlineStr">
        <is>
          <t>INCF</t>
        </is>
      </c>
      <c r="D61" s="23" t="n">
        <v>21934.0635</v>
      </c>
      <c r="E61" s="23" t="n">
        <v>22423.8324</v>
      </c>
      <c r="F61" s="23" t="n">
        <v>23493.1413</v>
      </c>
      <c r="G61" s="23" t="n">
        <v>24438.8478</v>
      </c>
    </row>
    <row r="62">
      <c r="B62" s="5" t="inlineStr">
        <is>
          <t>INV016</t>
        </is>
      </c>
      <c r="C62" s="5" t="inlineStr">
        <is>
          <t>BALF</t>
        </is>
      </c>
      <c r="D62" s="23" t="n">
        <v>3172.2153</v>
      </c>
      <c r="E62" s="23" t="n">
        <v>3291.6738</v>
      </c>
      <c r="F62" s="23" t="n">
        <v>3372.441</v>
      </c>
      <c r="G62" s="23" t="n">
        <v>3431.7552</v>
      </c>
    </row>
    <row r="63">
      <c r="B63" s="5" t="inlineStr">
        <is>
          <t>INV017</t>
        </is>
      </c>
      <c r="C63" s="5" t="inlineStr">
        <is>
          <t>INCF</t>
        </is>
      </c>
      <c r="D63" s="23" t="n">
        <v>9536.028200000001</v>
      </c>
      <c r="E63" s="23" t="n">
        <v>9834.286</v>
      </c>
      <c r="F63" s="23" t="n">
        <v>9627.0203</v>
      </c>
      <c r="G63" s="23" t="n">
        <v>9727.4645</v>
      </c>
    </row>
    <row r="64">
      <c r="B64" s="5" t="inlineStr">
        <is>
          <t>INV018</t>
        </is>
      </c>
      <c r="C64" s="5" t="inlineStr">
        <is>
          <t>EQGF</t>
        </is>
      </c>
      <c r="D64" s="23" t="n">
        <v>7898.4082</v>
      </c>
      <c r="E64" s="23" t="n">
        <v>8343.1302</v>
      </c>
      <c r="F64" s="23" t="n">
        <v>8677.4247</v>
      </c>
      <c r="G64" s="23" t="n">
        <v>8663.8639</v>
      </c>
    </row>
    <row r="65">
      <c r="B65" s="5" t="inlineStr">
        <is>
          <t>INV019</t>
        </is>
      </c>
      <c r="C65" s="5" t="inlineStr">
        <is>
          <t>BALF</t>
        </is>
      </c>
      <c r="D65" s="23" t="n">
        <v>10508.7917</v>
      </c>
      <c r="E65" s="23" t="n">
        <v>10448.8091</v>
      </c>
      <c r="F65" s="23" t="n">
        <v>10898.2148</v>
      </c>
      <c r="G65" s="23" t="n">
        <v>11344.3474</v>
      </c>
    </row>
    <row r="66">
      <c r="B66" s="5" t="inlineStr">
        <is>
          <t>INV020</t>
        </is>
      </c>
      <c r="C66" s="5" t="inlineStr">
        <is>
          <t>EQGF</t>
        </is>
      </c>
      <c r="D66" s="23" t="n">
        <v>5879.7823</v>
      </c>
      <c r="E66" s="23" t="n">
        <v>6062.7374</v>
      </c>
      <c r="F66" s="23" t="n">
        <v>6176.2174</v>
      </c>
      <c r="G66" s="23" t="n">
        <v>6118.7709</v>
      </c>
    </row>
    <row r="67">
      <c r="B67" s="5" t="inlineStr">
        <is>
          <t>INV020</t>
        </is>
      </c>
      <c r="C67" s="5" t="inlineStr">
        <is>
          <t>INCF</t>
        </is>
      </c>
      <c r="D67" s="23" t="n">
        <v>17962.6836</v>
      </c>
      <c r="E67" s="23" t="n">
        <v>18378.5255</v>
      </c>
      <c r="F67" s="23" t="n">
        <v>18971.9703</v>
      </c>
      <c r="G67" s="23" t="n">
        <v>19296.8607</v>
      </c>
    </row>
    <row r="68">
      <c r="B68" s="5" t="inlineStr">
        <is>
          <t>INV021</t>
        </is>
      </c>
      <c r="C68" s="5" t="inlineStr">
        <is>
          <t>INCF</t>
        </is>
      </c>
      <c r="D68" s="23" t="n">
        <v>5009.7222</v>
      </c>
      <c r="E68" s="23" t="n">
        <v>5039.4423</v>
      </c>
      <c r="F68" s="23" t="n">
        <v>4896.1112</v>
      </c>
      <c r="G68" s="23" t="n">
        <v>5116.6169</v>
      </c>
    </row>
    <row r="69">
      <c r="B69" s="5" t="inlineStr">
        <is>
          <t>INV022</t>
        </is>
      </c>
      <c r="C69" s="5" t="inlineStr">
        <is>
          <t>BALF</t>
        </is>
      </c>
      <c r="D69" s="23" t="n">
        <v>16180.8282</v>
      </c>
      <c r="E69" s="23" t="n">
        <v>16933.7746</v>
      </c>
      <c r="F69" s="23" t="n">
        <v>16842.3514</v>
      </c>
      <c r="G69" s="23" t="n">
        <v>16573.7961</v>
      </c>
    </row>
    <row r="70">
      <c r="B70" s="5" t="inlineStr">
        <is>
          <t>INV022</t>
        </is>
      </c>
      <c r="C70" s="5" t="inlineStr">
        <is>
          <t>INCF</t>
        </is>
      </c>
      <c r="D70" s="23" t="n">
        <v>19926.1632</v>
      </c>
      <c r="E70" s="23" t="n">
        <v>21037.1655</v>
      </c>
      <c r="F70" s="23" t="n">
        <v>20550.203</v>
      </c>
      <c r="G70" s="23" t="n">
        <v>20838.3031</v>
      </c>
    </row>
    <row r="71">
      <c r="B71" s="5" t="inlineStr">
        <is>
          <t>INV023</t>
        </is>
      </c>
      <c r="C71" s="5" t="inlineStr">
        <is>
          <t>EQGF</t>
        </is>
      </c>
      <c r="D71" s="23" t="n">
        <v>2899.7627</v>
      </c>
      <c r="E71" s="23" t="n">
        <v>3018.2127</v>
      </c>
      <c r="F71" s="23" t="n">
        <v>3112.5824</v>
      </c>
      <c r="G71" s="23" t="n">
        <v>3078.3048</v>
      </c>
    </row>
    <row r="72">
      <c r="B72" s="5" t="inlineStr">
        <is>
          <t>INV023</t>
        </is>
      </c>
      <c r="C72" s="5" t="inlineStr">
        <is>
          <t>BALF</t>
        </is>
      </c>
      <c r="D72" s="23" t="n">
        <v>10129.2357</v>
      </c>
      <c r="E72" s="23" t="n">
        <v>10372.1782</v>
      </c>
      <c r="F72" s="23" t="n">
        <v>10280.95</v>
      </c>
      <c r="G72" s="23" t="n">
        <v>10703.1918</v>
      </c>
    </row>
    <row r="73">
      <c r="B73" s="5" t="inlineStr">
        <is>
          <t>INV024</t>
        </is>
      </c>
      <c r="C73" s="5" t="inlineStr">
        <is>
          <t>EQGF</t>
        </is>
      </c>
      <c r="D73" s="23" t="n">
        <v>7500.7932</v>
      </c>
      <c r="E73" s="23" t="n">
        <v>7477.8697</v>
      </c>
      <c r="F73" s="23" t="n">
        <v>7576.1565</v>
      </c>
      <c r="G73" s="23" t="n">
        <v>7811.7384</v>
      </c>
    </row>
    <row r="74">
      <c r="B74" s="5" t="inlineStr">
        <is>
          <t>INV025</t>
        </is>
      </c>
      <c r="C74" s="5" t="inlineStr">
        <is>
          <t>EQGF</t>
        </is>
      </c>
      <c r="D74" s="23" t="n">
        <v>4614.9638</v>
      </c>
      <c r="E74" s="23" t="n">
        <v>4637.7493</v>
      </c>
      <c r="F74" s="23" t="n">
        <v>4867.8371</v>
      </c>
      <c r="G74" s="23" t="n">
        <v>4991.9254</v>
      </c>
    </row>
    <row r="75">
      <c r="B75" s="5" t="inlineStr">
        <is>
          <t>INV025</t>
        </is>
      </c>
      <c r="C75" s="5" t="inlineStr">
        <is>
          <t>BALF</t>
        </is>
      </c>
      <c r="D75" s="23" t="n">
        <v>9571.5013</v>
      </c>
      <c r="E75" s="23" t="n">
        <v>9776.389499999999</v>
      </c>
      <c r="F75" s="23" t="n">
        <v>9577.736500000001</v>
      </c>
      <c r="G75" s="23" t="n">
        <v>9536.8282</v>
      </c>
    </row>
    <row r="76">
      <c r="B76" s="5" t="inlineStr">
        <is>
          <t>INV025</t>
        </is>
      </c>
      <c r="C76" s="5" t="inlineStr">
        <is>
          <t>INCF</t>
        </is>
      </c>
      <c r="D76" s="23" t="n">
        <v>10747.4546</v>
      </c>
      <c r="E76" s="23" t="n">
        <v>11038.3312</v>
      </c>
      <c r="F76" s="23" t="n">
        <v>10910.3879</v>
      </c>
      <c r="G76" s="23" t="n">
        <v>10860.3661</v>
      </c>
    </row>
  </sheetData>
  <mergeCells count="3">
    <mergeCell ref="B4:K4"/>
    <mergeCell ref="I6:S6"/>
    <mergeCell ref="B2:K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2:F2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14" customWidth="1" min="2" max="2"/>
    <col width="36" customWidth="1" min="3" max="3"/>
    <col width="18" customWidth="1" min="4" max="4"/>
    <col width="18" customWidth="1" min="5" max="5"/>
    <col width="18" customWidth="1" min="6" max="6"/>
  </cols>
  <sheetData>
    <row r="2">
      <c r="B2" s="1" t="inlineStr">
        <is>
          <t>Withholding Tax Rates by Investor Tax Class</t>
        </is>
      </c>
    </row>
    <row r="4">
      <c r="B4" s="14" t="inlineStr">
        <is>
          <t>Rates applied to gross distribution amount per distribution event</t>
        </is>
      </c>
    </row>
    <row r="6" ht="22" customHeight="1">
      <c r="B6" s="15" t="inlineStr">
        <is>
          <t>Tax Class</t>
        </is>
      </c>
      <c r="C6" s="15" t="inlineStr">
        <is>
          <t>Description</t>
        </is>
      </c>
      <c r="D6" s="15" t="inlineStr">
        <is>
          <t>Equity Fund Rate</t>
        </is>
      </c>
      <c r="E6" s="15" t="inlineStr">
        <is>
          <t>Hybrid Fund Rate</t>
        </is>
      </c>
      <c r="F6" s="15" t="inlineStr">
        <is>
          <t>Debt Fund Rate</t>
        </is>
      </c>
    </row>
    <row r="7">
      <c r="B7" s="5" t="inlineStr">
        <is>
          <t>Resident</t>
        </is>
      </c>
      <c r="C7" s="5" t="inlineStr">
        <is>
          <t>Resident individual (regular)</t>
        </is>
      </c>
      <c r="D7" s="17" t="n">
        <v>0.1</v>
      </c>
      <c r="E7" s="17" t="n">
        <v>0.1</v>
      </c>
      <c r="F7" s="17" t="n">
        <v>0.1</v>
      </c>
    </row>
    <row r="8">
      <c r="B8" s="5" t="inlineStr">
        <is>
          <t>Senior</t>
        </is>
      </c>
      <c r="C8" s="5" t="inlineStr">
        <is>
          <t>Senior citizen (60+)</t>
        </is>
      </c>
      <c r="D8" s="17" t="n">
        <v>0.075</v>
      </c>
      <c r="E8" s="17" t="n">
        <v>0.075</v>
      </c>
      <c r="F8" s="17" t="n">
        <v>0.075</v>
      </c>
    </row>
    <row r="9">
      <c r="B9" s="5" t="inlineStr">
        <is>
          <t>NRI</t>
        </is>
      </c>
      <c r="C9" s="5" t="inlineStr">
        <is>
          <t>Non-resident Indian</t>
        </is>
      </c>
      <c r="D9" s="17" t="n">
        <v>0.2</v>
      </c>
      <c r="E9" s="17" t="n">
        <v>0.2</v>
      </c>
      <c r="F9" s="17" t="n">
        <v>0.2</v>
      </c>
    </row>
    <row r="10">
      <c r="B10" s="5" t="inlineStr">
        <is>
          <t>Domestic Co</t>
        </is>
      </c>
      <c r="C10" s="5" t="inlineStr">
        <is>
          <t>Domestic corporate</t>
        </is>
      </c>
      <c r="D10" s="17" t="n">
        <v>0.1</v>
      </c>
      <c r="E10" s="17" t="n">
        <v>0.1</v>
      </c>
      <c r="F10" s="17" t="n">
        <v>0.1</v>
      </c>
    </row>
    <row r="11">
      <c r="B11" s="5" t="inlineStr">
        <is>
          <t>Foreign Co</t>
        </is>
      </c>
      <c r="C11" s="5" t="inlineStr">
        <is>
          <t>Foreign corporate</t>
        </is>
      </c>
      <c r="D11" s="17" t="n">
        <v>0.2</v>
      </c>
      <c r="E11" s="17" t="n">
        <v>0.2</v>
      </c>
      <c r="F11" s="17" t="n">
        <v>0.2</v>
      </c>
    </row>
    <row r="12">
      <c r="B12" s="5" t="inlineStr">
        <is>
          <t>Trust</t>
        </is>
      </c>
      <c r="C12" s="5" t="inlineStr">
        <is>
          <t>Private/family trust</t>
        </is>
      </c>
      <c r="D12" s="17" t="n">
        <v>0.1</v>
      </c>
      <c r="E12" s="17" t="n">
        <v>0.1</v>
      </c>
      <c r="F12" s="17" t="n">
        <v>0.1</v>
      </c>
    </row>
    <row r="13">
      <c r="B13" s="5" t="inlineStr">
        <is>
          <t>Trust Exempt</t>
        </is>
      </c>
      <c r="C13" s="5" t="inlineStr">
        <is>
          <t>Pension/endowment (tax-exempt)</t>
        </is>
      </c>
      <c r="D13" s="17" t="n">
        <v>0</v>
      </c>
      <c r="E13" s="17" t="n">
        <v>0</v>
      </c>
      <c r="F13" s="17" t="n">
        <v>0</v>
      </c>
    </row>
    <row r="16">
      <c r="B16" s="22" t="inlineStr">
        <is>
          <t>Strategy → Tax Column Map</t>
        </is>
      </c>
    </row>
    <row r="17" ht="22" customHeight="1">
      <c r="B17" s="15" t="inlineStr">
        <is>
          <t>Strategy</t>
        </is>
      </c>
      <c r="C17" s="15" t="inlineStr">
        <is>
          <t>Column to Use</t>
        </is>
      </c>
    </row>
    <row r="18">
      <c r="B18" s="5" t="inlineStr">
        <is>
          <t>Equity</t>
        </is>
      </c>
      <c r="C18" s="5" t="inlineStr">
        <is>
          <t>Equity Fund Rate</t>
        </is>
      </c>
    </row>
    <row r="19">
      <c r="B19" s="5" t="inlineStr">
        <is>
          <t>Hybrid</t>
        </is>
      </c>
      <c r="C19" s="5" t="inlineStr">
        <is>
          <t>Hybrid Fund Rate</t>
        </is>
      </c>
    </row>
    <row r="20">
      <c r="B20" s="5" t="inlineStr">
        <is>
          <t>Debt</t>
        </is>
      </c>
      <c r="C20" s="5" t="inlineStr">
        <is>
          <t>Debt Fund Rate</t>
        </is>
      </c>
    </row>
  </sheetData>
  <mergeCells count="2">
    <mergeCell ref="B2:F2"/>
    <mergeCell ref="B4:F4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R6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7" customWidth="1" min="2" max="2"/>
    <col width="11" customWidth="1" min="3" max="3"/>
    <col width="22" customWidth="1" min="4" max="4"/>
    <col width="10" customWidth="1" min="5" max="5"/>
    <col width="22" customWidth="1" min="6" max="6"/>
    <col width="10" customWidth="1" min="7" max="7"/>
    <col width="10" customWidth="1" min="8" max="8"/>
    <col width="12" customWidth="1" min="9" max="9"/>
    <col width="12" customWidth="1" min="10" max="10"/>
    <col width="12" customWidth="1" min="11" max="11"/>
    <col width="16" customWidth="1" min="12" max="12"/>
    <col width="10" customWidth="1" min="13" max="13"/>
    <col width="12" customWidth="1" min="14" max="14"/>
    <col width="16" customWidth="1" min="15" max="15"/>
    <col width="8" customWidth="1" min="16" max="16"/>
    <col width="14" customWidth="1" min="17" max="17"/>
    <col width="12" customWidth="1" min="18" max="18"/>
  </cols>
  <sheetData>
    <row r="2">
      <c r="B2" s="1" t="inlineStr">
        <is>
          <t>Distribution Calculation Output</t>
        </is>
      </c>
    </row>
    <row r="4">
      <c r="B4" s="14" t="inlineStr">
        <is>
          <t>Populated by 'Run Distribution Calculation' macro. One row per investor × fund × period.</t>
        </is>
      </c>
    </row>
    <row r="6" ht="28" customHeight="1">
      <c r="B6" s="15" t="inlineStr">
        <is>
          <t>Row #</t>
        </is>
      </c>
      <c r="C6" s="15" t="inlineStr">
        <is>
          <t>Investor ID</t>
        </is>
      </c>
      <c r="D6" s="15" t="inlineStr">
        <is>
          <t>Investor Name</t>
        </is>
      </c>
      <c r="E6" s="15" t="inlineStr">
        <is>
          <t>Fund Code</t>
        </is>
      </c>
      <c r="F6" s="15" t="inlineStr">
        <is>
          <t>Fund Name</t>
        </is>
      </c>
      <c r="G6" s="15" t="inlineStr">
        <is>
          <t>Strategy</t>
        </is>
      </c>
      <c r="H6" s="15" t="inlineStr">
        <is>
          <t>Period</t>
        </is>
      </c>
      <c r="I6" s="15" t="inlineStr">
        <is>
          <t>Period End</t>
        </is>
      </c>
      <c r="J6" s="15" t="inlineStr">
        <is>
          <t>Units Held</t>
        </is>
      </c>
      <c r="K6" s="15" t="inlineStr">
        <is>
          <t>Dist per Unit</t>
        </is>
      </c>
      <c r="L6" s="15" t="inlineStr">
        <is>
          <t>Gross Distribution</t>
        </is>
      </c>
      <c r="M6" s="15" t="inlineStr">
        <is>
          <t>Tax Rate</t>
        </is>
      </c>
      <c r="N6" s="15" t="inlineStr">
        <is>
          <t>Tax Withheld</t>
        </is>
      </c>
      <c r="O6" s="15" t="inlineStr">
        <is>
          <t>Net Distribution</t>
        </is>
      </c>
      <c r="P6" s="15" t="inlineStr">
        <is>
          <t>Pref</t>
        </is>
      </c>
      <c r="Q6" s="15" t="inlineStr">
        <is>
          <t>Reinvested Units</t>
        </is>
      </c>
      <c r="R6" s="15" t="inlineStr">
        <is>
          <t>NAV (end)</t>
        </is>
      </c>
    </row>
  </sheetData>
  <mergeCells count="2">
    <mergeCell ref="B4:M4"/>
    <mergeCell ref="B2:M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2:K6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11" customWidth="1" min="2" max="2"/>
    <col width="22" customWidth="1" min="3" max="3"/>
    <col width="10" customWidth="1" min="4" max="4"/>
    <col width="14" customWidth="1" min="5" max="5"/>
    <col width="14" customWidth="1" min="6" max="6"/>
    <col width="16" customWidth="1" min="7" max="7"/>
    <col width="14" customWidth="1" min="8" max="8"/>
    <col width="14" customWidth="1" min="9" max="9"/>
    <col width="14" customWidth="1" min="10" max="10"/>
    <col width="14" customWidth="1" min="11" max="11"/>
  </cols>
  <sheetData>
    <row r="2">
      <c r="B2" s="1" t="inlineStr">
        <is>
          <t>Fund-Level Distribution Summary</t>
        </is>
      </c>
    </row>
    <row r="4">
      <c r="B4" s="14" t="inlineStr">
        <is>
          <t>Populated by 'Generate Summary Report' macro. One row per fund × period.</t>
        </is>
      </c>
    </row>
    <row r="6" ht="28" customHeight="1">
      <c r="B6" s="15" t="inlineStr">
        <is>
          <t>Fund Code</t>
        </is>
      </c>
      <c r="C6" s="15" t="inlineStr">
        <is>
          <t>Fund Name</t>
        </is>
      </c>
      <c r="D6" s="15" t="inlineStr">
        <is>
          <t>Period</t>
        </is>
      </c>
      <c r="E6" s="15" t="inlineStr">
        <is>
          <t>Total Units</t>
        </is>
      </c>
      <c r="F6" s="15" t="inlineStr">
        <is>
          <t>Dist per Unit</t>
        </is>
      </c>
      <c r="G6" s="15" t="inlineStr">
        <is>
          <t>Total Gross</t>
        </is>
      </c>
      <c r="H6" s="15" t="inlineStr">
        <is>
          <t>Total Tax</t>
        </is>
      </c>
      <c r="I6" s="15" t="inlineStr">
        <is>
          <t>Total Net</t>
        </is>
      </c>
      <c r="J6" s="15" t="inlineStr">
        <is>
          <t>Cash Paid</t>
        </is>
      </c>
      <c r="K6" s="15" t="inlineStr">
        <is>
          <t>Reinvested $</t>
        </is>
      </c>
    </row>
  </sheetData>
  <mergeCells count="2">
    <mergeCell ref="B2:I2"/>
    <mergeCell ref="B4:I4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F6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0" customWidth="1" min="2" max="2"/>
    <col width="24" customWidth="1" min="3" max="3"/>
    <col width="18" customWidth="1" min="4" max="4"/>
    <col width="50" customWidth="1" min="5" max="5"/>
    <col width="18" customWidth="1" min="6" max="6"/>
  </cols>
  <sheetData>
    <row r="2">
      <c r="B2" s="1" t="inlineStr">
        <is>
          <t>Calculation Audit Log</t>
        </is>
      </c>
    </row>
    <row r="4">
      <c r="B4" s="14" t="inlineStr">
        <is>
          <t>Each macro run appends timestamped events: rows processed, totals, warnings.</t>
        </is>
      </c>
    </row>
    <row r="6" ht="22" customHeight="1">
      <c r="B6" s="15" t="inlineStr">
        <is>
          <t>Timestamp</t>
        </is>
      </c>
      <c r="C6" s="15" t="inlineStr">
        <is>
          <t>Macro</t>
        </is>
      </c>
      <c r="D6" s="15" t="inlineStr">
        <is>
          <t>Event</t>
        </is>
      </c>
      <c r="E6" s="15" t="inlineStr">
        <is>
          <t>Details</t>
        </is>
      </c>
      <c r="F6" s="15" t="inlineStr">
        <is>
          <t>Value</t>
        </is>
      </c>
    </row>
  </sheetData>
  <mergeCells count="2">
    <mergeCell ref="B2:F2"/>
    <mergeCell ref="B4:F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2026-05-11T10:29:12Z</dcterms:created>
  <dcterms:modified xmlns:dcterms="http://purl.org/dc/terms/" xmlns:xsi="http://www.w3.org/2001/XMLSchema-instance" xsi:type="dcterms:W3CDTF">2026-05-11T10:29:12Z</dcterms:modified>
</cp:coreProperties>
</file>